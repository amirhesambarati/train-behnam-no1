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hammadreza\Documents\GitHub\train behnam no1\0-design\1-LightingAndSolenoidValve\1-LightingAndSolenoidValve\Project Outputs for 1-LightingAndSolenoidValve\"/>
    </mc:Choice>
  </mc:AlternateContent>
  <bookViews>
    <workbookView xWindow="0" yWindow="0" windowWidth="21570" windowHeight="10125"/>
  </bookViews>
  <sheets>
    <sheet name="1-LightingAndSolenoidValve" sheetId="1" r:id="rId1"/>
  </sheets>
  <definedNames>
    <definedName name="_xlnm.Print_Titles" localSheetId="0">'1-LightingAndSolenoidValve'!$1:$1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2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2" i="1"/>
  <c r="I3" i="1"/>
</calcChain>
</file>

<file path=xl/sharedStrings.xml><?xml version="1.0" encoding="utf-8"?>
<sst xmlns="http://schemas.openxmlformats.org/spreadsheetml/2006/main" count="103" uniqueCount="103">
  <si>
    <t>Comment</t>
  </si>
  <si>
    <t>Designator</t>
  </si>
  <si>
    <t>Quantity</t>
  </si>
  <si>
    <t>CA-IS2062A</t>
  </si>
  <si>
    <t>B1, B2</t>
  </si>
  <si>
    <t>CAP1206 100nf 50V</t>
  </si>
  <si>
    <t>C1, C5, C8, C9, C10, C11, C12, C13, C16, C17, C23, C24, C30, C43, C46, C49, C52, C55, C58, C61, C64, C67, C70, C73, C76</t>
  </si>
  <si>
    <t>CAP1206 22pf 50V</t>
  </si>
  <si>
    <t>C2, C3</t>
  </si>
  <si>
    <t>CAP1206 1uf 50V</t>
  </si>
  <si>
    <t>C4, C29, C39</t>
  </si>
  <si>
    <t>CAP1206 2.2uf 50V</t>
  </si>
  <si>
    <t>C6, C7, C41</t>
  </si>
  <si>
    <t>CAP0805 4.7nf 50V</t>
  </si>
  <si>
    <t>C14, C21</t>
  </si>
  <si>
    <t>CAP1206 10uf 50V</t>
  </si>
  <si>
    <t>C15, C22, C31, C32, C34, C35, C36, C37</t>
  </si>
  <si>
    <t>CAP0805 100nf 50V</t>
  </si>
  <si>
    <t>C18, C19, C20, C25, C26, C27</t>
  </si>
  <si>
    <t>HT1V477M1012PC</t>
  </si>
  <si>
    <t>C28</t>
  </si>
  <si>
    <t>CAP1206 220nf 50V</t>
  </si>
  <si>
    <t>C33</t>
  </si>
  <si>
    <t>100uF</t>
  </si>
  <si>
    <t>C38</t>
  </si>
  <si>
    <t>47uF</t>
  </si>
  <si>
    <t>C40</t>
  </si>
  <si>
    <t>CAP1206 1nf 50V</t>
  </si>
  <si>
    <t>C42, C44, C45, C47, C48, C50, C51, C53, C54, C56, C57, C59, C60, C62, C63, C65, C66, C68, C69, C71, C72, C74, C75, C77</t>
  </si>
  <si>
    <t>SS34</t>
  </si>
  <si>
    <t>D1, D4</t>
  </si>
  <si>
    <t>LED1206GRN</t>
  </si>
  <si>
    <t>D2, D3, D6, D10, D13, D16, D19, D22, D25, D28, D31, D34, D37, D40, D43</t>
  </si>
  <si>
    <t>SMBJ24CA</t>
  </si>
  <si>
    <t>D5</t>
  </si>
  <si>
    <t>ss14</t>
  </si>
  <si>
    <t>D7</t>
  </si>
  <si>
    <t>SDT20B100D1</t>
  </si>
  <si>
    <t>D8, D9, D11, D12, D14, D15, D17, D18, D20, D21, D23, D24, D26, D27, D29, D30, D32, D33, D35, D36, D38, D39, D41, D42</t>
  </si>
  <si>
    <t>FH2, FH3, FH4, FH5, FH6, FH7, FH8, FH9, FH10, FH11, FH12, FH13</t>
  </si>
  <si>
    <t>FUSE1206</t>
  </si>
  <si>
    <t>FUSE_SMD1</t>
  </si>
  <si>
    <t>XH_4</t>
  </si>
  <si>
    <t>J1, J2, J3</t>
  </si>
  <si>
    <t>DX07S016JA1</t>
  </si>
  <si>
    <t>J4</t>
  </si>
  <si>
    <t>CONN_ATXPWR_6</t>
  </si>
  <si>
    <t>J5, J6</t>
  </si>
  <si>
    <t>JMPHDR3PIN</t>
  </si>
  <si>
    <t>JP1, JP2</t>
  </si>
  <si>
    <t>ACM2520-102-2P-T002</t>
  </si>
  <si>
    <t>L1, L2</t>
  </si>
  <si>
    <t>8uH-7.3mmx6.6mm</t>
  </si>
  <si>
    <t>L3</t>
  </si>
  <si>
    <t>CONN_ATXPWR_4</t>
  </si>
  <si>
    <t>LO1, LO2, LO3, LO4, LO5, LO6, LO7, LO8, LO9, LO10, LO11, LO12</t>
  </si>
  <si>
    <t>CONN_ATXPWR_2</t>
  </si>
  <si>
    <t>N1, N2, N3, N4, N5, N6, N7, N8, N9, N10, N11, N12, P1, P2, P3, P4, P5, P6, P7, P8, P9, P10, P11, P12, POWER1</t>
  </si>
  <si>
    <t>EL817S</t>
  </si>
  <si>
    <t>OP1, OP2, OP3, OP4, OP5, OP6, OP7, OP8, OP9, OP10, OP11, OP12</t>
  </si>
  <si>
    <t>IRF9530NS</t>
  </si>
  <si>
    <t>Q1, Q3, Q5, Q7, Q9, Q11, Q13, Q15, Q17, Q19, Q21, Q23</t>
  </si>
  <si>
    <t>2N7002</t>
  </si>
  <si>
    <t>Q2, Q4, Q6, Q8, Q10, Q12, Q14, Q16, Q18, Q20, Q22, Q24</t>
  </si>
  <si>
    <t>RES1206 4.7K 1%</t>
  </si>
  <si>
    <t>R1, R2, R3, R4, R5, R6, R7</t>
  </si>
  <si>
    <t>RES1206 60 1%</t>
  </si>
  <si>
    <t>R8, R9, R10, R11</t>
  </si>
  <si>
    <t>RES1206 2.2K 1%</t>
  </si>
  <si>
    <t>R12</t>
  </si>
  <si>
    <t>RES1206 560R 1%</t>
  </si>
  <si>
    <t>R13</t>
  </si>
  <si>
    <t>RES1206 180R 1%</t>
  </si>
  <si>
    <t>R14</t>
  </si>
  <si>
    <t>RES1206 100k 1%</t>
  </si>
  <si>
    <t>R15, R16</t>
  </si>
  <si>
    <t>RES1206 24.9k 1%</t>
  </si>
  <si>
    <t>R17</t>
  </si>
  <si>
    <t>RES1206 10K 1%</t>
  </si>
  <si>
    <t>R18</t>
  </si>
  <si>
    <t>RES1206 12K 1%</t>
  </si>
  <si>
    <t>R19, R20, R23, R24, R26, R27, R28, R29, R32, R33, R35, R36, R37, R38, R41, R42, R44, R45, R46, R47, R50, R51, R53, R54, R55, R56, R59, R60, R62, R63, R64, R65, R68, R69, R71, R72, R73, R74, R77, R78, R80, R81, R82, R83, R86, R87, R89, R90, R91, R92, R95, R96, R98, R99, R100, R101, R104, R105, R107, R108, R109, R110, R113, R114, R116, R117, R118, R119, R122, R123, R125, R126</t>
  </si>
  <si>
    <t>RES1206 470 1%</t>
  </si>
  <si>
    <t>R21, R22, R30, R31, R39, R40, R48, R49, R57, R58, R66, R67, R75, R76, R84, R85, R93, R94, R102, R103, R111, R112, R120, R121</t>
  </si>
  <si>
    <t>RES1206 100R 1%</t>
  </si>
  <si>
    <t>R25, R34, R43, R52, R61, R70, R79, R88, R97, R106, R115, R124</t>
  </si>
  <si>
    <t>STM32F407VGT6</t>
  </si>
  <si>
    <t>U1</t>
  </si>
  <si>
    <t>NUP2105LT1G</t>
  </si>
  <si>
    <t>U2, U3</t>
  </si>
  <si>
    <t>LMR33630ADDAR</t>
  </si>
  <si>
    <t>U4</t>
  </si>
  <si>
    <t>TLV76133DCYR</t>
  </si>
  <si>
    <t>U5</t>
  </si>
  <si>
    <t>MT9223-20BR5</t>
  </si>
  <si>
    <t>U6, U7, U8, U9, U10, U11, U12, U13, U14, U15, U16, U17</t>
  </si>
  <si>
    <t>XTL_8MHz</t>
  </si>
  <si>
    <t>X1</t>
  </si>
  <si>
    <t>18pf</t>
  </si>
  <si>
    <t>XF-155</t>
  </si>
  <si>
    <t>6.8uh</t>
  </si>
  <si>
    <t>62ohm</t>
  </si>
  <si>
    <t>CC6900SO-30A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</si>
</sst>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1" xfId="0" quotePrefix="1" applyFont="1" applyBorder="1" applyAlignment="1">
      <alignment horizontal="center"/>
    </xf>
    <xf numFmtId="0" fontId="1" fillId="0" borderId="1" xfId="0" quotePrefix="1" applyFont="1" applyFill="1" applyBorder="1" applyAlignment="1">
      <alignment horizontal="center"/>
    </xf>
    <xf numFmtId="0" fontId="0" fillId="4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9"/>
  <sheetViews>
    <sheetView tabSelected="1" topLeftCell="F25" zoomScale="115" zoomScaleNormal="115" workbookViewId="0">
      <selection activeCell="K52" sqref="K52"/>
    </sheetView>
  </sheetViews>
  <sheetFormatPr defaultRowHeight="15" x14ac:dyDescent="0.25"/>
  <cols>
    <col min="1" max="1" width="19.7109375" style="6" customWidth="1"/>
    <col min="2" max="2" width="29.5703125" style="6" customWidth="1"/>
    <col min="3" max="3" width="35.140625" style="6" customWidth="1"/>
    <col min="4" max="5" width="19.7109375" style="6" hidden="1" customWidth="1"/>
    <col min="6" max="6" width="19.7109375" style="6" customWidth="1"/>
    <col min="7" max="7" width="13.85546875" style="6" bestFit="1" customWidth="1"/>
    <col min="8" max="9" width="9.140625" style="6"/>
    <col min="10" max="10" width="39.140625" style="6" customWidth="1"/>
    <col min="11" max="16384" width="9.140625" style="6"/>
  </cols>
  <sheetData>
    <row r="1" spans="1:10" s="2" customFormat="1" x14ac:dyDescent="0.25">
      <c r="A1" s="1" t="s">
        <v>0</v>
      </c>
      <c r="B1" s="1"/>
      <c r="C1" s="1" t="s">
        <v>1</v>
      </c>
      <c r="D1" s="1"/>
      <c r="E1" s="1"/>
      <c r="F1" s="1" t="s">
        <v>2</v>
      </c>
    </row>
    <row r="2" spans="1:10" x14ac:dyDescent="0.25">
      <c r="A2" s="3" t="s">
        <v>3</v>
      </c>
      <c r="B2" s="4"/>
      <c r="C2" s="4" t="s">
        <v>4</v>
      </c>
      <c r="D2" s="4"/>
      <c r="E2" s="4"/>
      <c r="F2" s="5">
        <v>2</v>
      </c>
      <c r="H2" s="6">
        <v>2</v>
      </c>
      <c r="I2" s="2">
        <f t="shared" ref="I2:I49" si="0">F:F*2</f>
        <v>4</v>
      </c>
      <c r="J2" s="9">
        <f>MAX((I2-H2),0)</f>
        <v>2</v>
      </c>
    </row>
    <row r="3" spans="1:10" x14ac:dyDescent="0.25">
      <c r="A3" s="3" t="s">
        <v>5</v>
      </c>
      <c r="B3" s="4"/>
      <c r="C3" s="4" t="s">
        <v>6</v>
      </c>
      <c r="D3" s="4"/>
      <c r="E3" s="4"/>
      <c r="F3" s="5">
        <v>25</v>
      </c>
      <c r="H3" s="6">
        <v>30</v>
      </c>
      <c r="I3" s="2">
        <f t="shared" si="0"/>
        <v>50</v>
      </c>
      <c r="J3" s="9">
        <f t="shared" ref="J3:J49" si="1">MAX((I3-H3),0)</f>
        <v>20</v>
      </c>
    </row>
    <row r="4" spans="1:10" x14ac:dyDescent="0.25">
      <c r="A4" s="3" t="s">
        <v>7</v>
      </c>
      <c r="B4" s="4"/>
      <c r="C4" s="4" t="s">
        <v>8</v>
      </c>
      <c r="D4" s="4"/>
      <c r="E4" s="4"/>
      <c r="F4" s="5">
        <v>2</v>
      </c>
      <c r="G4" s="6" t="s">
        <v>98</v>
      </c>
      <c r="H4" s="6">
        <v>10</v>
      </c>
      <c r="I4" s="2">
        <f t="shared" si="0"/>
        <v>4</v>
      </c>
      <c r="J4" s="6">
        <f t="shared" si="1"/>
        <v>0</v>
      </c>
    </row>
    <row r="5" spans="1:10" x14ac:dyDescent="0.25">
      <c r="A5" s="3" t="s">
        <v>9</v>
      </c>
      <c r="B5" s="4"/>
      <c r="C5" s="4" t="s">
        <v>10</v>
      </c>
      <c r="D5" s="4"/>
      <c r="E5" s="4"/>
      <c r="F5" s="5">
        <v>3</v>
      </c>
      <c r="H5" s="6">
        <v>10</v>
      </c>
      <c r="I5" s="2">
        <f t="shared" si="0"/>
        <v>6</v>
      </c>
      <c r="J5" s="6">
        <f t="shared" si="1"/>
        <v>0</v>
      </c>
    </row>
    <row r="6" spans="1:10" x14ac:dyDescent="0.25">
      <c r="A6" s="3" t="s">
        <v>11</v>
      </c>
      <c r="B6" s="4"/>
      <c r="C6" s="4" t="s">
        <v>12</v>
      </c>
      <c r="D6" s="4"/>
      <c r="E6" s="4"/>
      <c r="F6" s="5">
        <v>3</v>
      </c>
      <c r="H6" s="6">
        <v>10</v>
      </c>
      <c r="I6" s="2">
        <f t="shared" si="0"/>
        <v>6</v>
      </c>
      <c r="J6" s="6">
        <f t="shared" si="1"/>
        <v>0</v>
      </c>
    </row>
    <row r="7" spans="1:10" x14ac:dyDescent="0.25">
      <c r="A7" s="3" t="s">
        <v>13</v>
      </c>
      <c r="B7" s="4"/>
      <c r="C7" s="4" t="s">
        <v>14</v>
      </c>
      <c r="D7" s="4"/>
      <c r="E7" s="4"/>
      <c r="F7" s="5">
        <v>2</v>
      </c>
      <c r="H7" s="6">
        <v>50</v>
      </c>
      <c r="I7" s="2">
        <f t="shared" si="0"/>
        <v>4</v>
      </c>
      <c r="J7" s="6">
        <f t="shared" si="1"/>
        <v>0</v>
      </c>
    </row>
    <row r="8" spans="1:10" x14ac:dyDescent="0.25">
      <c r="A8" s="3" t="s">
        <v>15</v>
      </c>
      <c r="B8" s="4"/>
      <c r="C8" s="4" t="s">
        <v>16</v>
      </c>
      <c r="D8" s="4"/>
      <c r="E8" s="4"/>
      <c r="F8" s="5">
        <v>8</v>
      </c>
      <c r="H8" s="6">
        <v>20</v>
      </c>
      <c r="I8" s="2">
        <f t="shared" si="0"/>
        <v>16</v>
      </c>
      <c r="J8" s="6">
        <f t="shared" si="1"/>
        <v>0</v>
      </c>
    </row>
    <row r="9" spans="1:10" x14ac:dyDescent="0.25">
      <c r="A9" s="3" t="s">
        <v>17</v>
      </c>
      <c r="B9" s="4"/>
      <c r="C9" s="4" t="s">
        <v>18</v>
      </c>
      <c r="D9" s="4"/>
      <c r="E9" s="4"/>
      <c r="F9" s="5">
        <v>6</v>
      </c>
      <c r="H9" s="6">
        <v>20</v>
      </c>
      <c r="I9" s="2">
        <f t="shared" si="0"/>
        <v>12</v>
      </c>
      <c r="J9" s="6">
        <f t="shared" si="1"/>
        <v>0</v>
      </c>
    </row>
    <row r="10" spans="1:10" x14ac:dyDescent="0.25">
      <c r="A10" s="7" t="s">
        <v>19</v>
      </c>
      <c r="B10" s="4"/>
      <c r="C10" s="4" t="s">
        <v>20</v>
      </c>
      <c r="D10" s="4"/>
      <c r="E10" s="4"/>
      <c r="F10" s="5">
        <v>1</v>
      </c>
      <c r="I10" s="2">
        <f t="shared" si="0"/>
        <v>2</v>
      </c>
      <c r="J10" s="6">
        <f t="shared" si="1"/>
        <v>2</v>
      </c>
    </row>
    <row r="11" spans="1:10" x14ac:dyDescent="0.25">
      <c r="A11" s="3" t="s">
        <v>21</v>
      </c>
      <c r="B11" s="4"/>
      <c r="C11" s="4" t="s">
        <v>22</v>
      </c>
      <c r="D11" s="4"/>
      <c r="E11" s="4"/>
      <c r="F11" s="5">
        <v>1</v>
      </c>
      <c r="H11" s="6">
        <v>10</v>
      </c>
      <c r="I11" s="2">
        <f t="shared" si="0"/>
        <v>2</v>
      </c>
      <c r="J11" s="6">
        <f t="shared" si="1"/>
        <v>0</v>
      </c>
    </row>
    <row r="12" spans="1:10" x14ac:dyDescent="0.25">
      <c r="A12" s="7" t="s">
        <v>23</v>
      </c>
      <c r="B12" s="4"/>
      <c r="C12" s="4" t="s">
        <v>24</v>
      </c>
      <c r="D12" s="4"/>
      <c r="E12" s="4"/>
      <c r="F12" s="5">
        <v>1</v>
      </c>
      <c r="I12" s="2">
        <f t="shared" si="0"/>
        <v>2</v>
      </c>
      <c r="J12" s="6">
        <f t="shared" si="1"/>
        <v>2</v>
      </c>
    </row>
    <row r="13" spans="1:10" x14ac:dyDescent="0.25">
      <c r="A13" s="3" t="s">
        <v>25</v>
      </c>
      <c r="B13" s="4"/>
      <c r="C13" s="4" t="s">
        <v>26</v>
      </c>
      <c r="D13" s="4"/>
      <c r="E13" s="4"/>
      <c r="F13" s="5">
        <v>1</v>
      </c>
      <c r="H13" s="6">
        <v>2</v>
      </c>
      <c r="I13" s="2">
        <f t="shared" si="0"/>
        <v>2</v>
      </c>
      <c r="J13" s="6">
        <f t="shared" si="1"/>
        <v>0</v>
      </c>
    </row>
    <row r="14" spans="1:10" x14ac:dyDescent="0.25">
      <c r="A14" s="7" t="s">
        <v>27</v>
      </c>
      <c r="B14" s="4"/>
      <c r="C14" s="4" t="s">
        <v>28</v>
      </c>
      <c r="D14" s="4"/>
      <c r="E14" s="4"/>
      <c r="F14" s="5">
        <v>24</v>
      </c>
      <c r="I14" s="2">
        <f t="shared" si="0"/>
        <v>48</v>
      </c>
      <c r="J14" s="6">
        <f t="shared" si="1"/>
        <v>48</v>
      </c>
    </row>
    <row r="15" spans="1:10" x14ac:dyDescent="0.25">
      <c r="A15" s="8" t="s">
        <v>29</v>
      </c>
      <c r="B15" s="4"/>
      <c r="C15" s="4" t="s">
        <v>30</v>
      </c>
      <c r="D15" s="4"/>
      <c r="E15" s="4"/>
      <c r="F15" s="5">
        <v>2</v>
      </c>
      <c r="I15" s="2">
        <f t="shared" si="0"/>
        <v>4</v>
      </c>
      <c r="J15" s="6">
        <f t="shared" si="1"/>
        <v>4</v>
      </c>
    </row>
    <row r="16" spans="1:10" x14ac:dyDescent="0.25">
      <c r="A16" s="3" t="s">
        <v>31</v>
      </c>
      <c r="B16" s="4"/>
      <c r="C16" s="4" t="s">
        <v>32</v>
      </c>
      <c r="D16" s="4"/>
      <c r="E16" s="4"/>
      <c r="F16" s="5">
        <v>15</v>
      </c>
      <c r="H16" s="6">
        <v>100</v>
      </c>
      <c r="I16" s="2">
        <f t="shared" si="0"/>
        <v>30</v>
      </c>
      <c r="J16" s="6">
        <f t="shared" si="1"/>
        <v>0</v>
      </c>
    </row>
    <row r="17" spans="1:10" x14ac:dyDescent="0.25">
      <c r="A17" s="7" t="s">
        <v>33</v>
      </c>
      <c r="B17" s="4"/>
      <c r="C17" s="4" t="s">
        <v>34</v>
      </c>
      <c r="D17" s="4"/>
      <c r="E17" s="4"/>
      <c r="F17" s="5">
        <v>1</v>
      </c>
      <c r="I17" s="2">
        <f t="shared" si="0"/>
        <v>2</v>
      </c>
      <c r="J17" s="6">
        <f t="shared" si="1"/>
        <v>2</v>
      </c>
    </row>
    <row r="18" spans="1:10" x14ac:dyDescent="0.25">
      <c r="A18" s="3" t="s">
        <v>35</v>
      </c>
      <c r="B18" s="4"/>
      <c r="C18" s="4" t="s">
        <v>36</v>
      </c>
      <c r="D18" s="4"/>
      <c r="E18" s="4"/>
      <c r="F18" s="5">
        <v>1</v>
      </c>
      <c r="H18" s="6">
        <v>20</v>
      </c>
      <c r="I18" s="2">
        <f t="shared" si="0"/>
        <v>2</v>
      </c>
      <c r="J18" s="6">
        <f t="shared" si="1"/>
        <v>0</v>
      </c>
    </row>
    <row r="19" spans="1:10" x14ac:dyDescent="0.25">
      <c r="A19" s="3" t="s">
        <v>37</v>
      </c>
      <c r="B19" s="4"/>
      <c r="C19" s="4" t="s">
        <v>38</v>
      </c>
      <c r="D19" s="4"/>
      <c r="E19" s="4"/>
      <c r="F19" s="5">
        <v>24</v>
      </c>
      <c r="H19" s="6">
        <v>24</v>
      </c>
      <c r="I19" s="2">
        <f t="shared" si="0"/>
        <v>48</v>
      </c>
      <c r="J19" s="9">
        <f t="shared" si="1"/>
        <v>24</v>
      </c>
    </row>
    <row r="20" spans="1:10" x14ac:dyDescent="0.25">
      <c r="A20" s="7" t="s">
        <v>99</v>
      </c>
      <c r="B20" s="4"/>
      <c r="C20" s="4" t="s">
        <v>39</v>
      </c>
      <c r="D20" s="4"/>
      <c r="E20" s="4"/>
      <c r="F20" s="5">
        <v>13</v>
      </c>
      <c r="I20" s="2">
        <f t="shared" si="0"/>
        <v>26</v>
      </c>
      <c r="J20" s="6">
        <f t="shared" si="1"/>
        <v>26</v>
      </c>
    </row>
    <row r="21" spans="1:10" x14ac:dyDescent="0.25">
      <c r="A21" s="3" t="s">
        <v>40</v>
      </c>
      <c r="B21" s="4"/>
      <c r="C21" s="4" t="s">
        <v>41</v>
      </c>
      <c r="D21" s="4"/>
      <c r="E21" s="4"/>
      <c r="F21" s="5">
        <v>1</v>
      </c>
      <c r="H21" s="6">
        <v>5</v>
      </c>
      <c r="I21" s="2">
        <f t="shared" si="0"/>
        <v>2</v>
      </c>
      <c r="J21" s="6">
        <f t="shared" si="1"/>
        <v>0</v>
      </c>
    </row>
    <row r="22" spans="1:10" x14ac:dyDescent="0.25">
      <c r="A22" s="7" t="s">
        <v>42</v>
      </c>
      <c r="B22" s="4"/>
      <c r="C22" s="4" t="s">
        <v>43</v>
      </c>
      <c r="D22" s="4"/>
      <c r="E22" s="4"/>
      <c r="F22" s="5">
        <v>3</v>
      </c>
      <c r="I22" s="2">
        <f t="shared" si="0"/>
        <v>6</v>
      </c>
      <c r="J22" s="6">
        <f t="shared" si="1"/>
        <v>6</v>
      </c>
    </row>
    <row r="23" spans="1:10" x14ac:dyDescent="0.25">
      <c r="A23" s="7" t="s">
        <v>44</v>
      </c>
      <c r="B23" s="4"/>
      <c r="C23" s="4" t="s">
        <v>45</v>
      </c>
      <c r="D23" s="4"/>
      <c r="E23" s="4"/>
      <c r="F23" s="5">
        <v>1</v>
      </c>
      <c r="I23" s="2">
        <f t="shared" si="0"/>
        <v>2</v>
      </c>
      <c r="J23" s="6">
        <f t="shared" si="1"/>
        <v>2</v>
      </c>
    </row>
    <row r="24" spans="1:10" x14ac:dyDescent="0.25">
      <c r="A24" s="7" t="s">
        <v>46</v>
      </c>
      <c r="B24" s="4"/>
      <c r="C24" s="4" t="s">
        <v>47</v>
      </c>
      <c r="D24" s="4"/>
      <c r="E24" s="4"/>
      <c r="F24" s="5">
        <v>2</v>
      </c>
      <c r="I24" s="2">
        <f t="shared" si="0"/>
        <v>4</v>
      </c>
      <c r="J24" s="6">
        <f t="shared" si="1"/>
        <v>4</v>
      </c>
    </row>
    <row r="25" spans="1:10" x14ac:dyDescent="0.25">
      <c r="A25" s="7" t="s">
        <v>48</v>
      </c>
      <c r="B25" s="4"/>
      <c r="C25" s="4" t="s">
        <v>49</v>
      </c>
      <c r="D25" s="4"/>
      <c r="E25" s="4"/>
      <c r="F25" s="5">
        <v>2</v>
      </c>
      <c r="I25" s="2">
        <f t="shared" si="0"/>
        <v>4</v>
      </c>
      <c r="J25" s="6">
        <f t="shared" si="1"/>
        <v>4</v>
      </c>
    </row>
    <row r="26" spans="1:10" x14ac:dyDescent="0.25">
      <c r="A26" s="3" t="s">
        <v>50</v>
      </c>
      <c r="B26" s="4"/>
      <c r="C26" s="4" t="s">
        <v>51</v>
      </c>
      <c r="D26" s="4"/>
      <c r="E26" s="4"/>
      <c r="F26" s="5">
        <v>2</v>
      </c>
      <c r="H26" s="6">
        <v>2</v>
      </c>
      <c r="I26" s="2">
        <f t="shared" si="0"/>
        <v>4</v>
      </c>
      <c r="J26" s="9">
        <f t="shared" si="1"/>
        <v>2</v>
      </c>
    </row>
    <row r="27" spans="1:10" x14ac:dyDescent="0.25">
      <c r="A27" s="3" t="s">
        <v>52</v>
      </c>
      <c r="B27" s="4"/>
      <c r="C27" s="4" t="s">
        <v>53</v>
      </c>
      <c r="D27" s="4"/>
      <c r="E27" s="4"/>
      <c r="F27" s="5">
        <v>1</v>
      </c>
      <c r="G27" s="6" t="s">
        <v>100</v>
      </c>
      <c r="H27" s="6">
        <v>2</v>
      </c>
      <c r="I27" s="2">
        <f t="shared" si="0"/>
        <v>2</v>
      </c>
      <c r="J27" s="6">
        <f t="shared" si="1"/>
        <v>0</v>
      </c>
    </row>
    <row r="28" spans="1:10" x14ac:dyDescent="0.25">
      <c r="A28" s="7" t="s">
        <v>54</v>
      </c>
      <c r="B28" s="4"/>
      <c r="C28" s="4" t="s">
        <v>55</v>
      </c>
      <c r="D28" s="4"/>
      <c r="E28" s="4"/>
      <c r="F28" s="5">
        <v>12</v>
      </c>
      <c r="I28" s="2">
        <f t="shared" si="0"/>
        <v>24</v>
      </c>
      <c r="J28" s="6">
        <f t="shared" si="1"/>
        <v>24</v>
      </c>
    </row>
    <row r="29" spans="1:10" x14ac:dyDescent="0.25">
      <c r="A29" s="7" t="s">
        <v>56</v>
      </c>
      <c r="B29" s="4"/>
      <c r="C29" s="4" t="s">
        <v>57</v>
      </c>
      <c r="D29" s="4"/>
      <c r="E29" s="4"/>
      <c r="F29" s="5">
        <v>25</v>
      </c>
      <c r="I29" s="2">
        <f t="shared" si="0"/>
        <v>50</v>
      </c>
      <c r="J29" s="6">
        <f t="shared" si="1"/>
        <v>50</v>
      </c>
    </row>
    <row r="30" spans="1:10" x14ac:dyDescent="0.25">
      <c r="A30" s="3" t="s">
        <v>58</v>
      </c>
      <c r="B30" s="4"/>
      <c r="C30" s="4" t="s">
        <v>59</v>
      </c>
      <c r="D30" s="4"/>
      <c r="E30" s="4"/>
      <c r="F30" s="5">
        <v>12</v>
      </c>
      <c r="H30" s="6">
        <v>15</v>
      </c>
      <c r="I30" s="2">
        <f t="shared" si="0"/>
        <v>24</v>
      </c>
      <c r="J30" s="9">
        <f t="shared" si="1"/>
        <v>9</v>
      </c>
    </row>
    <row r="31" spans="1:10" x14ac:dyDescent="0.25">
      <c r="A31" s="3" t="s">
        <v>60</v>
      </c>
      <c r="B31" s="4"/>
      <c r="C31" s="4" t="s">
        <v>61</v>
      </c>
      <c r="D31" s="4"/>
      <c r="E31" s="4"/>
      <c r="F31" s="5">
        <v>12</v>
      </c>
      <c r="H31" s="6">
        <v>12</v>
      </c>
      <c r="I31" s="2">
        <f t="shared" si="0"/>
        <v>24</v>
      </c>
      <c r="J31" s="9">
        <f t="shared" si="1"/>
        <v>12</v>
      </c>
    </row>
    <row r="32" spans="1:10" x14ac:dyDescent="0.25">
      <c r="A32" s="3" t="s">
        <v>62</v>
      </c>
      <c r="B32" s="4"/>
      <c r="C32" s="4" t="s">
        <v>63</v>
      </c>
      <c r="D32" s="4"/>
      <c r="E32" s="4"/>
      <c r="F32" s="5">
        <v>12</v>
      </c>
      <c r="H32" s="6">
        <v>12</v>
      </c>
      <c r="I32" s="2">
        <f t="shared" si="0"/>
        <v>24</v>
      </c>
      <c r="J32" s="9">
        <f t="shared" si="1"/>
        <v>12</v>
      </c>
    </row>
    <row r="33" spans="1:10" x14ac:dyDescent="0.25">
      <c r="A33" s="8" t="s">
        <v>64</v>
      </c>
      <c r="B33" s="4"/>
      <c r="C33" s="4" t="s">
        <v>65</v>
      </c>
      <c r="D33" s="4"/>
      <c r="E33" s="4"/>
      <c r="F33" s="5">
        <v>7</v>
      </c>
      <c r="I33" s="2">
        <f t="shared" si="0"/>
        <v>14</v>
      </c>
      <c r="J33" s="6">
        <f t="shared" si="1"/>
        <v>14</v>
      </c>
    </row>
    <row r="34" spans="1:10" x14ac:dyDescent="0.25">
      <c r="A34" s="3" t="s">
        <v>66</v>
      </c>
      <c r="B34" s="4"/>
      <c r="C34" s="4" t="s">
        <v>67</v>
      </c>
      <c r="D34" s="4"/>
      <c r="E34" s="4"/>
      <c r="F34" s="5">
        <v>4</v>
      </c>
      <c r="G34" s="6" t="s">
        <v>101</v>
      </c>
      <c r="H34" s="6">
        <v>100</v>
      </c>
      <c r="I34" s="2">
        <f t="shared" si="0"/>
        <v>8</v>
      </c>
      <c r="J34" s="6">
        <f t="shared" si="1"/>
        <v>0</v>
      </c>
    </row>
    <row r="35" spans="1:10" x14ac:dyDescent="0.25">
      <c r="A35" s="3" t="s">
        <v>68</v>
      </c>
      <c r="B35" s="4"/>
      <c r="C35" s="4" t="s">
        <v>69</v>
      </c>
      <c r="D35" s="4"/>
      <c r="E35" s="4"/>
      <c r="F35" s="5">
        <v>1</v>
      </c>
      <c r="H35" s="6">
        <v>100</v>
      </c>
      <c r="I35" s="2">
        <f t="shared" si="0"/>
        <v>2</v>
      </c>
      <c r="J35" s="6">
        <f t="shared" si="1"/>
        <v>0</v>
      </c>
    </row>
    <row r="36" spans="1:10" x14ac:dyDescent="0.25">
      <c r="A36" s="3" t="s">
        <v>70</v>
      </c>
      <c r="B36" s="4"/>
      <c r="C36" s="4" t="s">
        <v>71</v>
      </c>
      <c r="D36" s="4"/>
      <c r="E36" s="4"/>
      <c r="F36" s="5">
        <v>1</v>
      </c>
      <c r="H36" s="6">
        <v>100</v>
      </c>
      <c r="I36" s="2">
        <f t="shared" si="0"/>
        <v>2</v>
      </c>
      <c r="J36" s="6">
        <f t="shared" si="1"/>
        <v>0</v>
      </c>
    </row>
    <row r="37" spans="1:10" x14ac:dyDescent="0.25">
      <c r="A37" s="3" t="s">
        <v>72</v>
      </c>
      <c r="B37" s="4"/>
      <c r="C37" s="4" t="s">
        <v>73</v>
      </c>
      <c r="D37" s="4"/>
      <c r="E37" s="4"/>
      <c r="F37" s="5">
        <v>1</v>
      </c>
      <c r="H37" s="6">
        <v>100</v>
      </c>
      <c r="I37" s="2">
        <f t="shared" si="0"/>
        <v>2</v>
      </c>
      <c r="J37" s="6">
        <f t="shared" si="1"/>
        <v>0</v>
      </c>
    </row>
    <row r="38" spans="1:10" x14ac:dyDescent="0.25">
      <c r="A38" s="3" t="s">
        <v>74</v>
      </c>
      <c r="B38" s="4"/>
      <c r="C38" s="4" t="s">
        <v>75</v>
      </c>
      <c r="D38" s="4"/>
      <c r="E38" s="4"/>
      <c r="F38" s="5">
        <v>2</v>
      </c>
      <c r="H38" s="6">
        <v>100</v>
      </c>
      <c r="I38" s="2">
        <f t="shared" si="0"/>
        <v>4</v>
      </c>
      <c r="J38" s="6">
        <f t="shared" si="1"/>
        <v>0</v>
      </c>
    </row>
    <row r="39" spans="1:10" x14ac:dyDescent="0.25">
      <c r="A39" s="3" t="s">
        <v>76</v>
      </c>
      <c r="B39" s="4"/>
      <c r="C39" s="4" t="s">
        <v>77</v>
      </c>
      <c r="D39" s="4"/>
      <c r="E39" s="4"/>
      <c r="F39" s="5">
        <v>1</v>
      </c>
      <c r="G39" s="6">
        <v>805</v>
      </c>
      <c r="H39" s="6">
        <v>100</v>
      </c>
      <c r="I39" s="2">
        <f t="shared" si="0"/>
        <v>2</v>
      </c>
      <c r="J39" s="6">
        <f t="shared" si="1"/>
        <v>0</v>
      </c>
    </row>
    <row r="40" spans="1:10" x14ac:dyDescent="0.25">
      <c r="A40" s="3" t="s">
        <v>78</v>
      </c>
      <c r="B40" s="4"/>
      <c r="C40" s="4" t="s">
        <v>79</v>
      </c>
      <c r="D40" s="4"/>
      <c r="E40" s="4"/>
      <c r="F40" s="5">
        <v>1</v>
      </c>
      <c r="H40" s="6">
        <v>100</v>
      </c>
      <c r="I40" s="2">
        <f t="shared" si="0"/>
        <v>2</v>
      </c>
      <c r="J40" s="6">
        <f t="shared" si="1"/>
        <v>0</v>
      </c>
    </row>
    <row r="41" spans="1:10" x14ac:dyDescent="0.25">
      <c r="A41" s="3" t="s">
        <v>80</v>
      </c>
      <c r="B41" s="4"/>
      <c r="C41" s="4" t="s">
        <v>81</v>
      </c>
      <c r="D41" s="4"/>
      <c r="E41" s="4"/>
      <c r="F41" s="5">
        <v>72</v>
      </c>
      <c r="H41" s="6">
        <v>100</v>
      </c>
      <c r="I41" s="2">
        <f t="shared" si="0"/>
        <v>144</v>
      </c>
      <c r="J41" s="9">
        <f t="shared" si="1"/>
        <v>44</v>
      </c>
    </row>
    <row r="42" spans="1:10" x14ac:dyDescent="0.25">
      <c r="A42" s="3" t="s">
        <v>82</v>
      </c>
      <c r="B42" s="4"/>
      <c r="C42" s="4" t="s">
        <v>83</v>
      </c>
      <c r="D42" s="4"/>
      <c r="E42" s="4"/>
      <c r="F42" s="5">
        <v>24</v>
      </c>
      <c r="H42" s="6">
        <v>100</v>
      </c>
      <c r="I42" s="2">
        <f t="shared" si="0"/>
        <v>48</v>
      </c>
      <c r="J42" s="6">
        <f t="shared" si="1"/>
        <v>0</v>
      </c>
    </row>
    <row r="43" spans="1:10" x14ac:dyDescent="0.25">
      <c r="A43" s="3" t="s">
        <v>84</v>
      </c>
      <c r="B43" s="4"/>
      <c r="C43" s="4" t="s">
        <v>85</v>
      </c>
      <c r="D43" s="4"/>
      <c r="E43" s="4"/>
      <c r="F43" s="5">
        <v>12</v>
      </c>
      <c r="H43" s="6">
        <v>100</v>
      </c>
      <c r="I43" s="2">
        <f t="shared" si="0"/>
        <v>24</v>
      </c>
      <c r="J43" s="6">
        <f t="shared" si="1"/>
        <v>0</v>
      </c>
    </row>
    <row r="44" spans="1:10" x14ac:dyDescent="0.25">
      <c r="A44" s="3" t="s">
        <v>86</v>
      </c>
      <c r="B44" s="4"/>
      <c r="C44" s="4" t="s">
        <v>87</v>
      </c>
      <c r="D44" s="4"/>
      <c r="E44" s="4"/>
      <c r="F44" s="5">
        <v>1</v>
      </c>
      <c r="H44" s="6">
        <v>1</v>
      </c>
      <c r="I44" s="2">
        <f t="shared" si="0"/>
        <v>2</v>
      </c>
      <c r="J44" s="9">
        <f t="shared" si="1"/>
        <v>1</v>
      </c>
    </row>
    <row r="45" spans="1:10" x14ac:dyDescent="0.25">
      <c r="A45" s="3" t="s">
        <v>88</v>
      </c>
      <c r="B45" s="4"/>
      <c r="C45" s="4" t="s">
        <v>89</v>
      </c>
      <c r="D45" s="4"/>
      <c r="E45" s="4"/>
      <c r="F45" s="5">
        <v>2</v>
      </c>
      <c r="H45" s="6">
        <v>2</v>
      </c>
      <c r="I45" s="2">
        <f t="shared" si="0"/>
        <v>4</v>
      </c>
      <c r="J45" s="9">
        <f t="shared" si="1"/>
        <v>2</v>
      </c>
    </row>
    <row r="46" spans="1:10" x14ac:dyDescent="0.25">
      <c r="A46" s="3" t="s">
        <v>90</v>
      </c>
      <c r="B46" s="4"/>
      <c r="C46" s="4" t="s">
        <v>91</v>
      </c>
      <c r="D46" s="4"/>
      <c r="E46" s="4"/>
      <c r="F46" s="5">
        <v>1</v>
      </c>
      <c r="H46" s="6">
        <v>1</v>
      </c>
      <c r="I46" s="2">
        <f t="shared" si="0"/>
        <v>2</v>
      </c>
      <c r="J46" s="9">
        <f t="shared" si="1"/>
        <v>1</v>
      </c>
    </row>
    <row r="47" spans="1:10" x14ac:dyDescent="0.25">
      <c r="A47" s="3" t="s">
        <v>92</v>
      </c>
      <c r="B47" s="4"/>
      <c r="C47" s="4" t="s">
        <v>93</v>
      </c>
      <c r="D47" s="4"/>
      <c r="E47" s="4"/>
      <c r="F47" s="5">
        <v>1</v>
      </c>
      <c r="H47" s="6">
        <v>1</v>
      </c>
      <c r="I47" s="2">
        <f t="shared" si="0"/>
        <v>2</v>
      </c>
      <c r="J47" s="9">
        <f t="shared" si="1"/>
        <v>1</v>
      </c>
    </row>
    <row r="48" spans="1:10" x14ac:dyDescent="0.25">
      <c r="A48" s="3" t="s">
        <v>94</v>
      </c>
      <c r="B48" s="4"/>
      <c r="C48" s="4" t="s">
        <v>95</v>
      </c>
      <c r="D48" s="4"/>
      <c r="E48" s="4"/>
      <c r="F48" s="5">
        <v>12</v>
      </c>
      <c r="G48" s="6" t="s">
        <v>102</v>
      </c>
      <c r="H48" s="6">
        <v>12</v>
      </c>
      <c r="I48" s="2">
        <f t="shared" si="0"/>
        <v>24</v>
      </c>
      <c r="J48" s="9">
        <f t="shared" si="1"/>
        <v>12</v>
      </c>
    </row>
    <row r="49" spans="1:10" x14ac:dyDescent="0.25">
      <c r="A49" s="3" t="s">
        <v>96</v>
      </c>
      <c r="B49" s="4"/>
      <c r="C49" s="4" t="s">
        <v>97</v>
      </c>
      <c r="D49" s="4"/>
      <c r="E49" s="4"/>
      <c r="F49" s="5">
        <v>1</v>
      </c>
      <c r="H49" s="6">
        <v>1</v>
      </c>
      <c r="I49" s="2">
        <f t="shared" si="0"/>
        <v>2</v>
      </c>
      <c r="J49" s="9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1-LightingAndSolenoidValve</vt:lpstr>
      <vt:lpstr>'1-LightingAndSolenoidValve'!Print_Titles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Mohammadreza</dc:creator>
  <cp:lastModifiedBy>Mohammadreza</cp:lastModifiedBy>
  <dcterms:created xsi:type="dcterms:W3CDTF">2026-10-21T11:41:33Z</dcterms:created>
  <dcterms:modified xsi:type="dcterms:W3CDTF">2026-10-22T11:36:41Z</dcterms:modified>
</cp:coreProperties>
</file>